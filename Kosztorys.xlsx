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<sst xmlns="http://schemas.openxmlformats.org/spreadsheetml/2006/main" count="151" uniqueCount="104">
  <si>
    <t xml:space="preserve">UKŁADY SCALONE</t>
  </si>
  <si>
    <t xml:space="preserve">typ</t>
  </si>
  <si>
    <t xml:space="preserve">nazwa</t>
  </si>
  <si>
    <t xml:space="preserve">link</t>
  </si>
  <si>
    <t xml:space="preserve">Ilość</t>
  </si>
  <si>
    <t xml:space="preserve">Cena l.p netto</t>
  </si>
  <si>
    <t xml:space="preserve">Łącznie brutto</t>
  </si>
  <si>
    <t xml:space="preserve">transciver CAN</t>
  </si>
  <si>
    <t xml:space="preserve">MCP2562-E/SN</t>
  </si>
  <si>
    <t xml:space="preserve">TME</t>
  </si>
  <si>
    <t xml:space="preserve">potencjometr cyfrowy</t>
  </si>
  <si>
    <t xml:space="preserve">MCP4661-103E/ST</t>
  </si>
  <si>
    <t xml:space="preserve">wzmacniacz operacyjny</t>
  </si>
  <si>
    <t xml:space="preserve">NCV21872DMR2G </t>
  </si>
  <si>
    <t xml:space="preserve">SUMA</t>
  </si>
  <si>
    <t xml:space="preserve">microkontroler</t>
  </si>
  <si>
    <t xml:space="preserve">STM32F105RBT6</t>
  </si>
  <si>
    <t xml:space="preserve">LDO 3.3V</t>
  </si>
  <si>
    <t xml:space="preserve">AP7347DQ-33W5-7</t>
  </si>
  <si>
    <t xml:space="preserve">USB ESD Protection</t>
  </si>
  <si>
    <t xml:space="preserve">USBLC6-2SC6Y</t>
  </si>
  <si>
    <t xml:space="preserve">WTYCZKI</t>
  </si>
  <si>
    <t xml:space="preserve">Wtyczka Micro-Fit 3.0 4pin</t>
  </si>
  <si>
    <t xml:space="preserve">43025-0410</t>
  </si>
  <si>
    <t xml:space="preserve">Wtyczka Micro-Fit 3.0 8pin</t>
  </si>
  <si>
    <t xml:space="preserve">43025-0808</t>
  </si>
  <si>
    <t xml:space="preserve">Wtyczka Micro-Fit 3.0 6pin</t>
  </si>
  <si>
    <t xml:space="preserve">43025-0600</t>
  </si>
  <si>
    <t xml:space="preserve">Styk żeński MF3.0  cynowany</t>
  </si>
  <si>
    <t xml:space="preserve">43030-0007</t>
  </si>
  <si>
    <t xml:space="preserve">Gniazdo Micro-Fit 3.0 6pin</t>
  </si>
  <si>
    <t xml:space="preserve">43045-0621</t>
  </si>
  <si>
    <t xml:space="preserve">Gniazdo Micro-Fit 3.0 4pin</t>
  </si>
  <si>
    <t xml:space="preserve">43045-0400</t>
  </si>
  <si>
    <t xml:space="preserve">Gniazdo Micro-Fit 3.0 8pin</t>
  </si>
  <si>
    <t xml:space="preserve">43045-0800</t>
  </si>
  <si>
    <t xml:space="preserve">Gniazdo USB C 16 pin</t>
  </si>
  <si>
    <t xml:space="preserve">USB4105-GF-A-120 </t>
  </si>
  <si>
    <t xml:space="preserve">Gniazdo DC Jack</t>
  </si>
  <si>
    <t xml:space="preserve">DC-10A FC68148 </t>
  </si>
  <si>
    <t xml:space="preserve">DROBNICA</t>
  </si>
  <si>
    <t xml:space="preserve">bezpiecznik polimerowy 500mA</t>
  </si>
  <si>
    <t xml:space="preserve">0ZCJ0050FF2G </t>
  </si>
  <si>
    <t xml:space="preserve">bezpiecznik polimerowy 1.25A</t>
  </si>
  <si>
    <t xml:space="preserve">1812L125/16DR</t>
  </si>
  <si>
    <t xml:space="preserve">kwarc 25MHz</t>
  </si>
  <si>
    <t xml:space="preserve">3225-25M-SR</t>
  </si>
  <si>
    <t xml:space="preserve">Mikroprzełącznik TACT</t>
  </si>
  <si>
    <t xml:space="preserve">PTS645SK43SMTR92 LFS </t>
  </si>
  <si>
    <t xml:space="preserve">LED zielona</t>
  </si>
  <si>
    <t xml:space="preserve">OSG80603C1E</t>
  </si>
  <si>
    <t xml:space="preserve">LED pomaranczowa</t>
  </si>
  <si>
    <t xml:space="preserve">OSO50603C1E</t>
  </si>
  <si>
    <t xml:space="preserve">kondensator 10nF</t>
  </si>
  <si>
    <t xml:space="preserve">C0805C103K1RACTU </t>
  </si>
  <si>
    <t xml:space="preserve">kondensator 100nF</t>
  </si>
  <si>
    <t xml:space="preserve">KGM21NR71H104KT </t>
  </si>
  <si>
    <t xml:space="preserve">kondensator 10uF</t>
  </si>
  <si>
    <t xml:space="preserve">GRM21BR60J106KE19L</t>
  </si>
  <si>
    <t xml:space="preserve">kondensator 1nF</t>
  </si>
  <si>
    <t xml:space="preserve">KGM21NR71H102KT </t>
  </si>
  <si>
    <t xml:space="preserve">kondensator 10pF</t>
  </si>
  <si>
    <t xml:space="preserve">08055A100JAT2A </t>
  </si>
  <si>
    <t xml:space="preserve">dioda shottky 2A</t>
  </si>
  <si>
    <t xml:space="preserve">SS23</t>
  </si>
  <si>
    <t xml:space="preserve">Rezystor 100R</t>
  </si>
  <si>
    <t xml:space="preserve">CRCW0805100RFKTABC </t>
  </si>
  <si>
    <t xml:space="preserve">Rezystor 1k</t>
  </si>
  <si>
    <t xml:space="preserve">CRCW08051K00FKTABC </t>
  </si>
  <si>
    <t xml:space="preserve">22R 1206</t>
  </si>
  <si>
    <t xml:space="preserve">CRCW120622R0FKTABC </t>
  </si>
  <si>
    <t xml:space="preserve">5.1k 0805</t>
  </si>
  <si>
    <t xml:space="preserve">RC0805FR-075K1L </t>
  </si>
  <si>
    <t xml:space="preserve">9.1k 0805</t>
  </si>
  <si>
    <t xml:space="preserve">RC0805FR-079K1L </t>
  </si>
  <si>
    <t xml:space="preserve">22R 0805</t>
  </si>
  <si>
    <t xml:space="preserve">RC0805FR-0722RL </t>
  </si>
  <si>
    <t xml:space="preserve">120R 0805</t>
  </si>
  <si>
    <t xml:space="preserve">WR08X1200FTL </t>
  </si>
  <si>
    <t xml:space="preserve">270R 0805</t>
  </si>
  <si>
    <t xml:space="preserve">CRCW0805270RFKTABC </t>
  </si>
  <si>
    <t xml:space="preserve">10k 0805</t>
  </si>
  <si>
    <t xml:space="preserve">CRCW080510K0FKEA </t>
  </si>
  <si>
    <t xml:space="preserve">22k 0805</t>
  </si>
  <si>
    <t xml:space="preserve">CRCW080522K0FKEA </t>
  </si>
  <si>
    <t xml:space="preserve">82k 0805</t>
  </si>
  <si>
    <t xml:space="preserve">ERA6AEB823V </t>
  </si>
  <si>
    <t xml:space="preserve">33k 0805</t>
  </si>
  <si>
    <t xml:space="preserve">RC0805FR-0733KL </t>
  </si>
  <si>
    <t xml:space="preserve">N-mosfet</t>
  </si>
  <si>
    <t xml:space="preserve">AO3400A</t>
  </si>
  <si>
    <t xml:space="preserve">Cena l.p brutto</t>
  </si>
  <si>
    <t xml:space="preserve">NARZĘDZIA</t>
  </si>
  <si>
    <t xml:space="preserve">Topnik w żelu</t>
  </si>
  <si>
    <t xml:space="preserve">ART.AGT-179 </t>
  </si>
  <si>
    <t xml:space="preserve">PRZEWODY</t>
  </si>
  <si>
    <t xml:space="preserve">LRFY-B 0.35mm 5 kolorów</t>
  </si>
  <si>
    <t xml:space="preserve">Allegro</t>
  </si>
  <si>
    <t xml:space="preserve">PCB</t>
  </si>
  <si>
    <t xml:space="preserve">autorskie pcb </t>
  </si>
  <si>
    <t xml:space="preserve">JLC PCB</t>
  </si>
  <si>
    <t xml:space="preserve">LICZNIK</t>
  </si>
  <si>
    <t xml:space="preserve">licznik audi a4 b6</t>
  </si>
  <si>
    <t xml:space="preserve">8E0920900H RB4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</si>
</sst>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color rgb="FF0000FF"/>
      <name val="Arial"/>
      <family val="2"/>
      <charset val="238"/>
    </font>
    <font>
      <sz val="10"/>
      <name val="Arial"/>
      <family val="2"/>
      <charset val="1"/>
    </font>
    <font>
      <sz val="10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tme.eu/pl/details/mcp2562-e_sn/uklady-scalone-interfejs-can/microchip-technology/" TargetMode="External"/><Relationship Id="rId2" Type="http://schemas.openxmlformats.org/officeDocument/2006/relationships/hyperlink" Target="https://www.tme.eu/pl/details/mcp4661-103est/potencjometry-cyfrowe/microchip-technology/mcp4661-103e-st/" TargetMode="External"/><Relationship Id="rId3" Type="http://schemas.openxmlformats.org/officeDocument/2006/relationships/hyperlink" Target="https://www.tme.eu/pl/details/ncv21872dmr2g/wzmacniacze-operacyjne-smd/onsemi/" TargetMode="External"/><Relationship Id="rId4" Type="http://schemas.openxmlformats.org/officeDocument/2006/relationships/hyperlink" Target="https://www.tme.eu/pl/details/stm32f105rbt6/mikrokontrolery-st/stmicroelectronics/" TargetMode="External"/><Relationship Id="rId5" Type="http://schemas.openxmlformats.org/officeDocument/2006/relationships/hyperlink" Target="https://www.tme.eu/pl/details/ap7347dq-33w5-7/stabilizatory-napiecia-nieregulowane-ldo/diodes-incorporated/" TargetMode="External"/><Relationship Id="rId6" Type="http://schemas.openxmlformats.org/officeDocument/2006/relationships/hyperlink" Target="https://www.tme.eu/pl/details/usblc6-2sc6y/diody-zabezpieczajace-drabinki/stmicroelectronics/" TargetMode="External"/><Relationship Id="rId7" Type="http://schemas.openxmlformats.org/officeDocument/2006/relationships/hyperlink" Target="https://www.tme.eu/pl/details/mx-43025-0410/zlacza-pozostale-molex/molex/43025-0410/" TargetMode="External"/><Relationship Id="rId8" Type="http://schemas.openxmlformats.org/officeDocument/2006/relationships/hyperlink" Target="https://www.tme.eu/pl/details/mx-43025-0808/zlacza-pozostale-molex/molex/43025-0808/" TargetMode="External"/><Relationship Id="rId9" Type="http://schemas.openxmlformats.org/officeDocument/2006/relationships/hyperlink" Target="https://www.tme.eu/pl/details/mx-43025-0600/zlacza-sygnalowe-raster-3-00mm/molex/43025-0600/" TargetMode="External"/><Relationship Id="rId10" Type="http://schemas.openxmlformats.org/officeDocument/2006/relationships/hyperlink" Target="https://www.tme.eu/pl/details/mx-43030-0007/zlacza-sygnalowe-raster-3-00mm/molex/43030-0007/" TargetMode="External"/><Relationship Id="rId11" Type="http://schemas.openxmlformats.org/officeDocument/2006/relationships/hyperlink" Target="https://www.tme.eu/pl/details/mx-43045-0621/zlacza-sygnalowe-raster-3-00mm/molex/43045-0621/" TargetMode="External"/><Relationship Id="rId12" Type="http://schemas.openxmlformats.org/officeDocument/2006/relationships/hyperlink" Target="https://www.tme.eu/pl/details/mx-43045-0400/zlacza-sygnalowe-raster-3-00mm/molex/43045-0400/" TargetMode="External"/><Relationship Id="rId13" Type="http://schemas.openxmlformats.org/officeDocument/2006/relationships/hyperlink" Target="https://www.tme.eu/pl/details/mx-43045-0800/zlacza-sygnalowe-raster-3-00mm/molex/43045-0800/" TargetMode="External"/><Relationship Id="rId14" Type="http://schemas.openxmlformats.org/officeDocument/2006/relationships/hyperlink" Target="https://www.tme.eu/pl/details/usb4105-gf-a-120/zlacza-usb-i-ieee1394/gct/" TargetMode="External"/><Relationship Id="rId15" Type="http://schemas.openxmlformats.org/officeDocument/2006/relationships/hyperlink" Target="https://www.tme.eu/pl/details/fc68148/zlacza-dc/cliff/dc-10a-fc68148/" TargetMode="External"/><Relationship Id="rId16" Type="http://schemas.openxmlformats.org/officeDocument/2006/relationships/hyperlink" Target="https://www.tme.eu/pl/details/0zcj0050ff2g/bezpieczniki-polimerowe-smd/bel-fuse/" TargetMode="External"/><Relationship Id="rId17" Type="http://schemas.openxmlformats.org/officeDocument/2006/relationships/hyperlink" Target="https://www.tme.eu/pl/details/1812l125_16dr/bezpieczniki-polimerowe-smd/littelfuse/" TargetMode="External"/><Relationship Id="rId18" Type="http://schemas.openxmlformats.org/officeDocument/2006/relationships/hyperlink" Target="https://www.tme.eu/pl/details/3225-25m-sr/rezonatory-i-generatory/sr-passives/" TargetMode="External"/><Relationship Id="rId19" Type="http://schemas.openxmlformats.org/officeDocument/2006/relationships/hyperlink" Target="https://www.tme.eu/pl/details/pts645sk43smtr92/mikroprzelaczniki-tact/c-k/pts645sk43smtr92-lfs/" TargetMode="External"/><Relationship Id="rId20" Type="http://schemas.openxmlformats.org/officeDocument/2006/relationships/hyperlink" Target="https://www.tme.eu/pl/details/osg80603c1e/diody-led-smd-kolorowe/optosupply/" TargetMode="External"/><Relationship Id="rId21" Type="http://schemas.openxmlformats.org/officeDocument/2006/relationships/hyperlink" Target="https://www.tme.eu/pl/details/oso50603c1e/diody-led-smd-kolorowe/optosupply/" TargetMode="External"/><Relationship Id="rId22" Type="http://schemas.openxmlformats.org/officeDocument/2006/relationships/hyperlink" Target="https://www.tme.eu/pl/details/c0805c103k1rac/kondensatory-mlcc-smd/kemet/c0805c103k1ractu/" TargetMode="External"/><Relationship Id="rId23" Type="http://schemas.openxmlformats.org/officeDocument/2006/relationships/hyperlink" Target="https://www.tme.eu/pl/details/kgm21nr71h104kt/kondensatory-mlcc-smd/kyocera-avx/" TargetMode="External"/><Relationship Id="rId24" Type="http://schemas.openxmlformats.org/officeDocument/2006/relationships/hyperlink" Target="https://www.tme.eu/pl/details/grm21br60j106ke19l/kondensatory-mlcc-smd/murata/" TargetMode="External"/><Relationship Id="rId25" Type="http://schemas.openxmlformats.org/officeDocument/2006/relationships/hyperlink" Target="https://www.tme.eu/pl/details/kgm21nr71h102kt/kondensatory-mlcc-smd/kyocera-avx/" TargetMode="External"/><Relationship Id="rId26" Type="http://schemas.openxmlformats.org/officeDocument/2006/relationships/hyperlink" Target="https://www.tme.eu/pl/details/08055a100jat2a/kondensatory-mlcc-smd/kyocera-avx/" TargetMode="External"/><Relationship Id="rId27" Type="http://schemas.openxmlformats.org/officeDocument/2006/relationships/hyperlink" Target="https://www.tme.eu/pl/details/ss23-yan/diody-schottky-smd/yangjie-technology/ss23/" TargetMode="External"/><Relationship Id="rId28" Type="http://schemas.openxmlformats.org/officeDocument/2006/relationships/hyperlink" Target="https://www.tme.eu/pl/details/crcw0805100rfktabc/rezystory-smd/vishay/" TargetMode="External"/><Relationship Id="rId29" Type="http://schemas.openxmlformats.org/officeDocument/2006/relationships/hyperlink" Target="https://www.tme.eu/pl/details/crcw08051k00fktabc/rezystory-smd/vishay/" TargetMode="External"/><Relationship Id="rId30" Type="http://schemas.openxmlformats.org/officeDocument/2006/relationships/hyperlink" Target="https://www.tme.eu/pl/details/crcw120622r0fktabc/rezystory-smd/vishay/" TargetMode="External"/><Relationship Id="rId31" Type="http://schemas.openxmlformats.org/officeDocument/2006/relationships/hyperlink" Target="https://www.tme.eu/pl/details/rc0805fr-075k1/rezystory-smd/yageo/rc0805fr-075k1l/" TargetMode="External"/><Relationship Id="rId32" Type="http://schemas.openxmlformats.org/officeDocument/2006/relationships/hyperlink" Target="https://www.tme.eu/pl/details/rc0805fr-079k1l/rezystory-smd/yageo/" TargetMode="External"/><Relationship Id="rId33" Type="http://schemas.openxmlformats.org/officeDocument/2006/relationships/hyperlink" Target="https://www.tme.eu/pl/details/rc0805fr-0722r/rezystory-smd/yageo/rc0805fr-0722rl/" TargetMode="External"/><Relationship Id="rId34" Type="http://schemas.openxmlformats.org/officeDocument/2006/relationships/hyperlink" Target="https://www.tme.eu/pl/details/wr08x1200ftl/rezystory-smd/walsin/" TargetMode="External"/><Relationship Id="rId35" Type="http://schemas.openxmlformats.org/officeDocument/2006/relationships/hyperlink" Target="https://www.tme.eu/pl/details/crcw0805270rfktabc/rezystory-smd/vishay/" TargetMode="External"/><Relationship Id="rId36" Type="http://schemas.openxmlformats.org/officeDocument/2006/relationships/hyperlink" Target="https://www.tme.eu/pl/details/crcw080510k0fkea/rezystory-smd/vishay/" TargetMode="External"/><Relationship Id="rId37" Type="http://schemas.openxmlformats.org/officeDocument/2006/relationships/hyperlink" Target="https://www.tme.eu/pl/details/crcw080522k0fkea/rezystory-smd/vishay/" TargetMode="External"/><Relationship Id="rId38" Type="http://schemas.openxmlformats.org/officeDocument/2006/relationships/hyperlink" Target="https://www.tme.eu/pl/details/era6aeb823v/rezystory-smd/panasonic/" TargetMode="External"/><Relationship Id="rId39" Type="http://schemas.openxmlformats.org/officeDocument/2006/relationships/hyperlink" Target="https://www.tme.eu/pl/details/rc0805fr-0733k/rezystory-smd/yageo/rc0805fr-0733kl/" TargetMode="External"/><Relationship Id="rId40" Type="http://schemas.openxmlformats.org/officeDocument/2006/relationships/hyperlink" Target="https://www.tme.eu/pl/details/ao3400a/tranzystory-z-kanalem-n-smd/alpha-omega-semiconductor/" TargetMode="External"/><Relationship Id="rId41" Type="http://schemas.openxmlformats.org/officeDocument/2006/relationships/hyperlink" Target="https://www.tme.eu/pl/details/topnik-zel_10/topniki/ag-termopasty/art-agt-179/" TargetMode="External"/><Relationship Id="rId42" Type="http://schemas.openxmlformats.org/officeDocument/2006/relationships/hyperlink" Target="https://allegro.pl/oferta/przewod-kabel-samochodowy-flry-b-0-35-zielony-5m-13471599200?context=3d9fa70e503eb52869ca183324400c37fca8bd6928a7482d5ef1868247686510cef5a3419f5630f1097e2053e5c6c2a184db614275e47db21629781dc16ecf2a65d4b0a06d7c83c1144e87a8237feaf229cd5b376e028a793d9926ac79e48f9c266dcf66a8f29bc737dd824b01f4b51020240bc2b78d361f091015e19ac23f4e9d094b624670d6aed30f52847a96f16d&amp;sellerHasChanged=false&amp;fromVariant=15617479535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6.16"/>
    <col collapsed="false" customWidth="true" hidden="false" outlineLevel="0" max="2" min="2" style="1" width="23.37"/>
    <col collapsed="false" customWidth="true" hidden="false" outlineLevel="0" max="3" min="3" style="1" width="14.33"/>
    <col collapsed="false" customWidth="true" hidden="false" outlineLevel="0" max="5" min="5" style="1" width="14.06"/>
    <col collapsed="false" customWidth="true" hidden="false" outlineLevel="0" max="6" min="6" style="1" width="15.02"/>
  </cols>
  <sheetData>
    <row r="1" customFormat="false" ht="12.8" hidden="false" customHeight="false" outlineLevel="0" collapsed="false">
      <c r="A1" s="2" t="s">
        <v>0</v>
      </c>
      <c r="B1" s="2"/>
      <c r="C1" s="2"/>
      <c r="D1" s="2"/>
      <c r="E1" s="2"/>
      <c r="F1" s="2"/>
    </row>
    <row r="2" customFormat="false" ht="12.8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1"/>
    </row>
    <row r="3" customFormat="false" ht="12.8" hidden="false" customHeight="false" outlineLevel="0" collapsed="false">
      <c r="A3" s="3" t="s">
        <v>7</v>
      </c>
      <c r="B3" s="3" t="s">
        <v>8</v>
      </c>
      <c r="C3" s="4" t="s">
        <v>9</v>
      </c>
      <c r="D3" s="3" t="n">
        <v>1</v>
      </c>
      <c r="E3" s="3" t="n">
        <v>4.26</v>
      </c>
      <c r="F3" s="5" t="n">
        <f aca="false">PRODUCT(D3,E3)*1.23</f>
        <v>5.2398</v>
      </c>
      <c r="G3" s="1"/>
      <c r="H3" s="1"/>
    </row>
    <row r="4" customFormat="false" ht="12.8" hidden="false" customHeight="false" outlineLevel="0" collapsed="false">
      <c r="A4" s="3" t="s">
        <v>10</v>
      </c>
      <c r="B4" s="3" t="s">
        <v>11</v>
      </c>
      <c r="C4" s="4" t="s">
        <v>9</v>
      </c>
      <c r="D4" s="3" t="n">
        <v>1</v>
      </c>
      <c r="E4" s="3" t="n">
        <v>5.34</v>
      </c>
      <c r="F4" s="5" t="n">
        <f aca="false">PRODUCT(D4,E4)*1.23</f>
        <v>6.5682</v>
      </c>
      <c r="G4" s="1"/>
    </row>
    <row r="5" customFormat="false" ht="12.8" hidden="false" customHeight="false" outlineLevel="0" collapsed="false">
      <c r="A5" s="3" t="s">
        <v>12</v>
      </c>
      <c r="B5" s="3" t="s">
        <v>13</v>
      </c>
      <c r="C5" s="4" t="s">
        <v>9</v>
      </c>
      <c r="D5" s="3" t="n">
        <v>1</v>
      </c>
      <c r="E5" s="3" t="n">
        <v>2.41</v>
      </c>
      <c r="F5" s="6" t="n">
        <f aca="false">PRODUCT(D5,E5)*1.23</f>
        <v>2.9643</v>
      </c>
      <c r="G5" s="1"/>
      <c r="H5" s="3" t="s">
        <v>14</v>
      </c>
    </row>
    <row r="6" customFormat="false" ht="12.8" hidden="false" customHeight="false" outlineLevel="0" collapsed="false">
      <c r="A6" s="3" t="s">
        <v>15</v>
      </c>
      <c r="B6" s="3" t="s">
        <v>16</v>
      </c>
      <c r="C6" s="4" t="s">
        <v>9</v>
      </c>
      <c r="D6" s="7" t="n">
        <v>1</v>
      </c>
      <c r="E6" s="3" t="n">
        <v>25.31</v>
      </c>
      <c r="F6" s="6" t="n">
        <f aca="false">PRODUCT(D6,E6)*1.23</f>
        <v>31.1313</v>
      </c>
      <c r="G6" s="1"/>
      <c r="H6" s="5" t="n">
        <f aca="false">SUM(F3:F70)</f>
        <v>379.190863</v>
      </c>
    </row>
    <row r="7" customFormat="false" ht="12.8" hidden="false" customHeight="false" outlineLevel="0" collapsed="false">
      <c r="A7" s="7" t="s">
        <v>17</v>
      </c>
      <c r="B7" s="8" t="s">
        <v>18</v>
      </c>
      <c r="C7" s="4" t="s">
        <v>9</v>
      </c>
      <c r="D7" s="7" t="n">
        <v>1</v>
      </c>
      <c r="E7" s="5" t="n">
        <v>1.926</v>
      </c>
      <c r="F7" s="6" t="n">
        <f aca="false">PRODUCT(D7,E7)*1.23</f>
        <v>2.36898</v>
      </c>
      <c r="G7" s="1"/>
    </row>
    <row r="8" customFormat="false" ht="12.8" hidden="false" customHeight="false" outlineLevel="0" collapsed="false">
      <c r="A8" s="3" t="s">
        <v>19</v>
      </c>
      <c r="B8" s="3" t="s">
        <v>20</v>
      </c>
      <c r="C8" s="4" t="s">
        <v>9</v>
      </c>
      <c r="D8" s="3" t="n">
        <v>1</v>
      </c>
      <c r="E8" s="3" t="n">
        <v>1.48</v>
      </c>
      <c r="F8" s="6" t="n">
        <f aca="false">PRODUCT(D8,E8)*1.23</f>
        <v>1.8204</v>
      </c>
      <c r="G8" s="1"/>
    </row>
    <row r="12" customFormat="false" ht="12.8" hidden="false" customHeight="false" outlineLevel="0" collapsed="false">
      <c r="A12" s="9" t="s">
        <v>21</v>
      </c>
      <c r="B12" s="9"/>
      <c r="C12" s="9"/>
      <c r="D12" s="9"/>
      <c r="E12" s="9"/>
      <c r="F12" s="9" t="n">
        <f aca="false">PRODUCT(D12,E12)*1.23</f>
        <v>0</v>
      </c>
    </row>
    <row r="13" customFormat="false" ht="12.8" hidden="false" customHeight="false" outlineLevel="0" collapsed="false">
      <c r="A13" s="7" t="s">
        <v>22</v>
      </c>
      <c r="B13" s="8" t="s">
        <v>23</v>
      </c>
      <c r="C13" s="4" t="s">
        <v>9</v>
      </c>
      <c r="D13" s="7" t="n">
        <v>1</v>
      </c>
      <c r="E13" s="7" t="n">
        <v>1.67</v>
      </c>
      <c r="F13" s="6" t="n">
        <f aca="false">PRODUCT(D13,E13)*1.23</f>
        <v>2.0541</v>
      </c>
      <c r="G13" s="1"/>
      <c r="H13" s="1"/>
    </row>
    <row r="14" customFormat="false" ht="12.8" hidden="false" customHeight="false" outlineLevel="0" collapsed="false">
      <c r="A14" s="7" t="s">
        <v>24</v>
      </c>
      <c r="B14" s="7" t="s">
        <v>25</v>
      </c>
      <c r="C14" s="4" t="s">
        <v>9</v>
      </c>
      <c r="D14" s="7" t="n">
        <v>1</v>
      </c>
      <c r="E14" s="7" t="n">
        <v>2.18</v>
      </c>
      <c r="F14" s="6" t="n">
        <f aca="false">PRODUCT(D14,E14)*1.23</f>
        <v>2.6814</v>
      </c>
      <c r="G14" s="1"/>
      <c r="H14" s="1"/>
    </row>
    <row r="15" customFormat="false" ht="12.8" hidden="false" customHeight="false" outlineLevel="0" collapsed="false">
      <c r="A15" s="7" t="s">
        <v>26</v>
      </c>
      <c r="B15" s="7" t="s">
        <v>27</v>
      </c>
      <c r="C15" s="4" t="s">
        <v>9</v>
      </c>
      <c r="D15" s="7" t="n">
        <v>1</v>
      </c>
      <c r="E15" s="5" t="n">
        <v>1.1</v>
      </c>
      <c r="F15" s="6" t="n">
        <f aca="false">PRODUCT(D15,E15)*1.23</f>
        <v>1.353</v>
      </c>
      <c r="G15" s="1"/>
      <c r="H15" s="1"/>
    </row>
    <row r="16" customFormat="false" ht="12.8" hidden="false" customHeight="false" outlineLevel="0" collapsed="false">
      <c r="A16" s="7" t="s">
        <v>28</v>
      </c>
      <c r="B16" s="7" t="s">
        <v>29</v>
      </c>
      <c r="C16" s="4" t="s">
        <v>9</v>
      </c>
      <c r="D16" s="7" t="n">
        <v>35</v>
      </c>
      <c r="E16" s="7" t="n">
        <v>0.382</v>
      </c>
      <c r="F16" s="6" t="n">
        <f aca="false">PRODUCT(D16,E16)*1.23</f>
        <v>16.4451</v>
      </c>
      <c r="G16" s="1"/>
      <c r="H16" s="1"/>
    </row>
    <row r="17" customFormat="false" ht="12.8" hidden="false" customHeight="false" outlineLevel="0" collapsed="false">
      <c r="A17" s="7" t="s">
        <v>30</v>
      </c>
      <c r="B17" s="7" t="s">
        <v>31</v>
      </c>
      <c r="C17" s="4" t="s">
        <v>9</v>
      </c>
      <c r="D17" s="7" t="n">
        <v>1</v>
      </c>
      <c r="E17" s="7" t="n">
        <v>5.84</v>
      </c>
      <c r="F17" s="6" t="n">
        <f aca="false">PRODUCT(D17,E17)*1.23</f>
        <v>7.1832</v>
      </c>
      <c r="G17" s="1"/>
      <c r="H17" s="1"/>
    </row>
    <row r="18" customFormat="false" ht="12.8" hidden="false" customHeight="false" outlineLevel="0" collapsed="false">
      <c r="A18" s="7" t="s">
        <v>32</v>
      </c>
      <c r="B18" s="7" t="s">
        <v>33</v>
      </c>
      <c r="C18" s="4" t="s">
        <v>9</v>
      </c>
      <c r="D18" s="7" t="n">
        <v>1</v>
      </c>
      <c r="E18" s="5" t="n">
        <v>3.7</v>
      </c>
      <c r="F18" s="6" t="n">
        <f aca="false">PRODUCT(D18,E18)*1.23</f>
        <v>4.551</v>
      </c>
      <c r="G18" s="1"/>
      <c r="H18" s="1"/>
    </row>
    <row r="19" customFormat="false" ht="12.8" hidden="false" customHeight="false" outlineLevel="0" collapsed="false">
      <c r="A19" s="7" t="s">
        <v>34</v>
      </c>
      <c r="B19" s="7" t="s">
        <v>35</v>
      </c>
      <c r="C19" s="4" t="s">
        <v>9</v>
      </c>
      <c r="D19" s="7" t="n">
        <v>1</v>
      </c>
      <c r="E19" s="7" t="n">
        <v>4.59</v>
      </c>
      <c r="F19" s="6" t="n">
        <f aca="false">PRODUCT(D19,E19)*1.23</f>
        <v>5.6457</v>
      </c>
      <c r="G19" s="1"/>
      <c r="H19" s="1"/>
    </row>
    <row r="20" customFormat="false" ht="12.8" hidden="false" customHeight="false" outlineLevel="0" collapsed="false">
      <c r="A20" s="7" t="s">
        <v>36</v>
      </c>
      <c r="B20" s="8" t="s">
        <v>37</v>
      </c>
      <c r="C20" s="4" t="s">
        <v>9</v>
      </c>
      <c r="D20" s="7" t="n">
        <v>1</v>
      </c>
      <c r="E20" s="7" t="n">
        <v>2.79</v>
      </c>
      <c r="F20" s="6" t="n">
        <f aca="false">PRODUCT(D20,E20)*1.23</f>
        <v>3.4317</v>
      </c>
      <c r="H20" s="1"/>
    </row>
    <row r="21" customFormat="false" ht="12.8" hidden="false" customHeight="false" outlineLevel="0" collapsed="false">
      <c r="A21" s="7" t="s">
        <v>38</v>
      </c>
      <c r="B21" s="10" t="s">
        <v>39</v>
      </c>
      <c r="C21" s="4" t="s">
        <v>9</v>
      </c>
      <c r="D21" s="7" t="n">
        <v>1</v>
      </c>
      <c r="E21" s="7" t="n">
        <v>2.97</v>
      </c>
      <c r="F21" s="6" t="n">
        <f aca="false">PRODUCT(D21,E21)*1.23</f>
        <v>3.6531</v>
      </c>
      <c r="H21" s="1"/>
    </row>
    <row r="22" customFormat="false" ht="12.8" hidden="false" customHeight="false" outlineLevel="0" collapsed="false">
      <c r="A22" s="7"/>
      <c r="B22" s="7"/>
      <c r="C22" s="7"/>
      <c r="D22" s="7"/>
      <c r="E22" s="7"/>
      <c r="F22" s="7"/>
    </row>
    <row r="23" customFormat="false" ht="12.8" hidden="false" customHeight="false" outlineLevel="0" collapsed="false">
      <c r="A23" s="2" t="s">
        <v>40</v>
      </c>
      <c r="B23" s="2"/>
      <c r="C23" s="2"/>
      <c r="D23" s="2"/>
      <c r="E23" s="2"/>
      <c r="F23" s="2" t="n">
        <f aca="false">PRODUCT(D23,E23)*1.23</f>
        <v>0</v>
      </c>
    </row>
    <row r="24" customFormat="false" ht="12.8" hidden="false" customHeight="false" outlineLevel="0" collapsed="false">
      <c r="A24" s="3" t="s">
        <v>41</v>
      </c>
      <c r="B24" s="8" t="s">
        <v>42</v>
      </c>
      <c r="C24" s="4" t="s">
        <v>9</v>
      </c>
      <c r="D24" s="3" t="n">
        <v>10</v>
      </c>
      <c r="E24" s="5" t="n">
        <v>0.415</v>
      </c>
      <c r="F24" s="6" t="n">
        <f aca="false">PRODUCT(D24,E24)*1.23</f>
        <v>5.1045</v>
      </c>
      <c r="H24" s="1"/>
    </row>
    <row r="25" customFormat="false" ht="12.8" hidden="false" customHeight="false" outlineLevel="0" collapsed="false">
      <c r="A25" s="7" t="s">
        <v>43</v>
      </c>
      <c r="B25" s="7" t="s">
        <v>44</v>
      </c>
      <c r="C25" s="4" t="s">
        <v>9</v>
      </c>
      <c r="D25" s="7" t="n">
        <v>2</v>
      </c>
      <c r="E25" s="7" t="n">
        <v>1.56</v>
      </c>
      <c r="F25" s="6" t="n">
        <f aca="false">PRODUCT(D25,E25)*1.23</f>
        <v>3.8376</v>
      </c>
      <c r="H25" s="1"/>
    </row>
    <row r="26" customFormat="false" ht="12.8" hidden="false" customHeight="false" outlineLevel="0" collapsed="false">
      <c r="A26" s="3" t="s">
        <v>45</v>
      </c>
      <c r="B26" s="3" t="s">
        <v>46</v>
      </c>
      <c r="C26" s="4" t="s">
        <v>9</v>
      </c>
      <c r="D26" s="3" t="n">
        <v>10</v>
      </c>
      <c r="E26" s="6" t="n">
        <v>0.656</v>
      </c>
      <c r="F26" s="6" t="n">
        <f aca="false">PRODUCT(D26,E26)*1.23</f>
        <v>8.0688</v>
      </c>
      <c r="H26" s="1"/>
    </row>
    <row r="27" customFormat="false" ht="12.8" hidden="false" customHeight="false" outlineLevel="0" collapsed="false">
      <c r="A27" s="3" t="s">
        <v>47</v>
      </c>
      <c r="B27" s="8" t="s">
        <v>48</v>
      </c>
      <c r="C27" s="4" t="s">
        <v>9</v>
      </c>
      <c r="D27" s="3" t="n">
        <v>4</v>
      </c>
      <c r="E27" s="6" t="n">
        <v>1.256</v>
      </c>
      <c r="F27" s="6" t="n">
        <f aca="false">PRODUCT(D27,E27)*1.23</f>
        <v>6.17952</v>
      </c>
      <c r="H27" s="1"/>
    </row>
    <row r="28" customFormat="false" ht="12.8" hidden="false" customHeight="false" outlineLevel="0" collapsed="false">
      <c r="A28" s="3" t="s">
        <v>49</v>
      </c>
      <c r="B28" s="3" t="s">
        <v>50</v>
      </c>
      <c r="C28" s="4" t="s">
        <v>9</v>
      </c>
      <c r="D28" s="3" t="n">
        <v>10</v>
      </c>
      <c r="E28" s="6" t="n">
        <v>0.3296</v>
      </c>
      <c r="F28" s="6" t="n">
        <f aca="false">PRODUCT(D28,E28)*1.23</f>
        <v>4.05408</v>
      </c>
      <c r="H28" s="1"/>
    </row>
    <row r="29" customFormat="false" ht="12.8" hidden="false" customHeight="false" outlineLevel="0" collapsed="false">
      <c r="A29" s="7" t="s">
        <v>51</v>
      </c>
      <c r="B29" s="7" t="s">
        <v>52</v>
      </c>
      <c r="C29" s="4" t="s">
        <v>9</v>
      </c>
      <c r="D29" s="3" t="n">
        <v>5</v>
      </c>
      <c r="E29" s="5" t="n">
        <v>0.6757</v>
      </c>
      <c r="F29" s="6" t="n">
        <f aca="false">PRODUCT(D29,E29)*1.23</f>
        <v>4.155555</v>
      </c>
      <c r="H29" s="1"/>
    </row>
    <row r="30" customFormat="false" ht="12.8" hidden="false" customHeight="false" outlineLevel="0" collapsed="false">
      <c r="A30" s="7" t="s">
        <v>53</v>
      </c>
      <c r="B30" s="8" t="s">
        <v>54</v>
      </c>
      <c r="C30" s="4" t="s">
        <v>9</v>
      </c>
      <c r="D30" s="3" t="n">
        <v>50</v>
      </c>
      <c r="E30" s="5" t="n">
        <v>0.083</v>
      </c>
      <c r="F30" s="6" t="n">
        <f aca="false">PRODUCT(D30,E30)*1.23</f>
        <v>5.1045</v>
      </c>
      <c r="H30" s="1"/>
    </row>
    <row r="31" customFormat="false" ht="12.8" hidden="false" customHeight="false" outlineLevel="0" collapsed="false">
      <c r="A31" s="7" t="s">
        <v>55</v>
      </c>
      <c r="B31" s="10" t="s">
        <v>56</v>
      </c>
      <c r="C31" s="4" t="s">
        <v>9</v>
      </c>
      <c r="D31" s="3" t="n">
        <v>100</v>
      </c>
      <c r="E31" s="5" t="n">
        <v>0.05633</v>
      </c>
      <c r="F31" s="6" t="n">
        <f aca="false">PRODUCT(D31,E31)*1.23</f>
        <v>6.92859</v>
      </c>
      <c r="H31" s="1"/>
    </row>
    <row r="32" customFormat="false" ht="12.8" hidden="false" customHeight="false" outlineLevel="0" collapsed="false">
      <c r="A32" s="11" t="s">
        <v>57</v>
      </c>
      <c r="B32" s="11" t="s">
        <v>58</v>
      </c>
      <c r="C32" s="4" t="s">
        <v>9</v>
      </c>
      <c r="D32" s="3" t="n">
        <v>25</v>
      </c>
      <c r="E32" s="5" t="n">
        <v>0.1959</v>
      </c>
      <c r="F32" s="6" t="n">
        <f aca="false">PRODUCT(D32,E32)*1.23</f>
        <v>6.023925</v>
      </c>
      <c r="H32" s="1"/>
    </row>
    <row r="33" customFormat="false" ht="12.8" hidden="false" customHeight="false" outlineLevel="0" collapsed="false">
      <c r="A33" s="7" t="s">
        <v>59</v>
      </c>
      <c r="B33" s="8" t="s">
        <v>60</v>
      </c>
      <c r="C33" s="4" t="s">
        <v>9</v>
      </c>
      <c r="D33" s="7" t="n">
        <v>50</v>
      </c>
      <c r="E33" s="7" t="n">
        <v>0.0767</v>
      </c>
      <c r="F33" s="6" t="n">
        <f aca="false">PRODUCT(D33,E33)*1.23</f>
        <v>4.71705</v>
      </c>
      <c r="H33" s="1"/>
    </row>
    <row r="34" customFormat="false" ht="12.8" hidden="false" customHeight="false" outlineLevel="0" collapsed="false">
      <c r="A34" s="7" t="s">
        <v>61</v>
      </c>
      <c r="B34" s="10" t="s">
        <v>62</v>
      </c>
      <c r="C34" s="4" t="s">
        <v>9</v>
      </c>
      <c r="D34" s="7" t="n">
        <v>25</v>
      </c>
      <c r="E34" s="7" t="n">
        <v>0.1149</v>
      </c>
      <c r="F34" s="6" t="n">
        <f aca="false">PRODUCT(D34,E34)*1.23</f>
        <v>3.533175</v>
      </c>
      <c r="H34" s="1"/>
    </row>
    <row r="35" customFormat="false" ht="12.8" hidden="false" customHeight="false" outlineLevel="0" collapsed="false">
      <c r="A35" s="7" t="s">
        <v>63</v>
      </c>
      <c r="B35" s="7" t="s">
        <v>64</v>
      </c>
      <c r="C35" s="4" t="s">
        <v>9</v>
      </c>
      <c r="D35" s="7" t="n">
        <v>5</v>
      </c>
      <c r="E35" s="7" t="n">
        <v>0.5256</v>
      </c>
      <c r="F35" s="6" t="n">
        <f aca="false">PRODUCT(D35,E35)*1.23</f>
        <v>3.23244</v>
      </c>
      <c r="H35" s="1"/>
    </row>
    <row r="36" customFormat="false" ht="12.8" hidden="false" customHeight="false" outlineLevel="0" collapsed="false">
      <c r="A36" s="7" t="s">
        <v>65</v>
      </c>
      <c r="B36" s="10" t="s">
        <v>66</v>
      </c>
      <c r="C36" s="4" t="s">
        <v>9</v>
      </c>
      <c r="D36" s="7" t="n">
        <v>50</v>
      </c>
      <c r="E36" s="7" t="n">
        <v>0.03957</v>
      </c>
      <c r="F36" s="6" t="n">
        <f aca="false">PRODUCT(D36,E36)*1.23</f>
        <v>2.433555</v>
      </c>
      <c r="H36" s="1"/>
    </row>
    <row r="37" customFormat="false" ht="12.8" hidden="false" customHeight="false" outlineLevel="0" collapsed="false">
      <c r="A37" s="7" t="s">
        <v>67</v>
      </c>
      <c r="B37" s="10" t="s">
        <v>68</v>
      </c>
      <c r="C37" s="4" t="s">
        <v>9</v>
      </c>
      <c r="D37" s="7" t="n">
        <v>100</v>
      </c>
      <c r="E37" s="7" t="n">
        <v>0.01861</v>
      </c>
      <c r="F37" s="6" t="n">
        <f aca="false">PRODUCT(D37,E37)*1.23</f>
        <v>2.28903</v>
      </c>
      <c r="H37" s="1"/>
    </row>
    <row r="38" customFormat="false" ht="12.8" hidden="false" customHeight="false" outlineLevel="0" collapsed="false">
      <c r="A38" s="7" t="s">
        <v>69</v>
      </c>
      <c r="B38" s="10" t="s">
        <v>70</v>
      </c>
      <c r="C38" s="4" t="s">
        <v>9</v>
      </c>
      <c r="D38" s="7" t="n">
        <v>100</v>
      </c>
      <c r="E38" s="7" t="n">
        <v>0.02808</v>
      </c>
      <c r="F38" s="6" t="n">
        <f aca="false">PRODUCT(D38,E38)*1.23</f>
        <v>3.45384</v>
      </c>
      <c r="H38" s="1"/>
    </row>
    <row r="39" customFormat="false" ht="12.8" hidden="false" customHeight="false" outlineLevel="0" collapsed="false">
      <c r="A39" s="7" t="s">
        <v>71</v>
      </c>
      <c r="B39" s="10" t="s">
        <v>72</v>
      </c>
      <c r="C39" s="4" t="s">
        <v>9</v>
      </c>
      <c r="D39" s="7" t="n">
        <v>50</v>
      </c>
      <c r="E39" s="7" t="n">
        <v>0.0609</v>
      </c>
      <c r="F39" s="6" t="n">
        <f aca="false">PRODUCT(D39,E39)*1.23</f>
        <v>3.74535</v>
      </c>
      <c r="H39" s="1"/>
    </row>
    <row r="40" customFormat="false" ht="12.8" hidden="false" customHeight="false" outlineLevel="0" collapsed="false">
      <c r="A40" s="7" t="s">
        <v>73</v>
      </c>
      <c r="B40" s="10" t="s">
        <v>74</v>
      </c>
      <c r="C40" s="4" t="s">
        <v>9</v>
      </c>
      <c r="D40" s="7" t="n">
        <v>100</v>
      </c>
      <c r="E40" s="7" t="n">
        <v>0.021146</v>
      </c>
      <c r="F40" s="6" t="n">
        <f aca="false">PRODUCT(D40,E40)*1.23</f>
        <v>2.600958</v>
      </c>
      <c r="H40" s="1"/>
    </row>
    <row r="41" customFormat="false" ht="12.8" hidden="false" customHeight="false" outlineLevel="0" collapsed="false">
      <c r="A41" s="7" t="s">
        <v>75</v>
      </c>
      <c r="B41" s="10" t="s">
        <v>76</v>
      </c>
      <c r="C41" s="4" t="s">
        <v>9</v>
      </c>
      <c r="D41" s="7" t="n">
        <v>50</v>
      </c>
      <c r="E41" s="7" t="n">
        <v>0.02928</v>
      </c>
      <c r="F41" s="6" t="n">
        <f aca="false">PRODUCT(D41,E41)*1.23</f>
        <v>1.80072</v>
      </c>
      <c r="H41" s="1"/>
    </row>
    <row r="42" customFormat="false" ht="12.8" hidden="false" customHeight="false" outlineLevel="0" collapsed="false">
      <c r="A42" s="7" t="s">
        <v>77</v>
      </c>
      <c r="B42" s="10" t="s">
        <v>78</v>
      </c>
      <c r="C42" s="4" t="s">
        <v>9</v>
      </c>
      <c r="D42" s="7" t="n">
        <v>100</v>
      </c>
      <c r="E42" s="7" t="n">
        <v>0.02597</v>
      </c>
      <c r="F42" s="6" t="n">
        <f aca="false">PRODUCT(D42,E42)*1.23</f>
        <v>3.19431</v>
      </c>
      <c r="H42" s="1"/>
    </row>
    <row r="43" customFormat="false" ht="12.8" hidden="false" customHeight="false" outlineLevel="0" collapsed="false">
      <c r="A43" s="7" t="s">
        <v>79</v>
      </c>
      <c r="B43" s="10" t="s">
        <v>80</v>
      </c>
      <c r="C43" s="4" t="s">
        <v>9</v>
      </c>
      <c r="D43" s="7" t="n">
        <v>50</v>
      </c>
      <c r="E43" s="7" t="n">
        <v>0.03764</v>
      </c>
      <c r="F43" s="6" t="n">
        <f aca="false">PRODUCT(D43,E43)*1.23</f>
        <v>2.31486</v>
      </c>
      <c r="H43" s="1"/>
    </row>
    <row r="44" customFormat="false" ht="12.8" hidden="false" customHeight="false" outlineLevel="0" collapsed="false">
      <c r="A44" s="7" t="s">
        <v>81</v>
      </c>
      <c r="B44" s="10" t="s">
        <v>82</v>
      </c>
      <c r="C44" s="4" t="s">
        <v>9</v>
      </c>
      <c r="D44" s="7" t="n">
        <v>50</v>
      </c>
      <c r="E44" s="7" t="n">
        <v>0.0298</v>
      </c>
      <c r="F44" s="6" t="n">
        <f aca="false">PRODUCT(D44,E44)*1.23</f>
        <v>1.8327</v>
      </c>
      <c r="H44" s="1"/>
    </row>
    <row r="45" customFormat="false" ht="12.8" hidden="false" customHeight="false" outlineLevel="0" collapsed="false">
      <c r="A45" s="7" t="s">
        <v>83</v>
      </c>
      <c r="B45" s="10" t="s">
        <v>84</v>
      </c>
      <c r="C45" s="4" t="s">
        <v>9</v>
      </c>
      <c r="D45" s="7" t="n">
        <v>25</v>
      </c>
      <c r="E45" s="7" t="n">
        <v>0.0725</v>
      </c>
      <c r="F45" s="6" t="n">
        <f aca="false">PRODUCT(D45,E45)*1.23</f>
        <v>2.229375</v>
      </c>
      <c r="H45" s="1"/>
    </row>
    <row r="46" customFormat="false" ht="12.8" hidden="false" customHeight="false" outlineLevel="0" collapsed="false">
      <c r="A46" s="7" t="s">
        <v>85</v>
      </c>
      <c r="B46" s="10" t="s">
        <v>86</v>
      </c>
      <c r="C46" s="4" t="s">
        <v>9</v>
      </c>
      <c r="D46" s="7" t="n">
        <v>20</v>
      </c>
      <c r="E46" s="7" t="n">
        <v>0.2568</v>
      </c>
      <c r="F46" s="6" t="n">
        <f aca="false">PRODUCT(D46,E46)*1.23</f>
        <v>6.31728</v>
      </c>
      <c r="H46" s="1"/>
    </row>
    <row r="47" customFormat="false" ht="12.8" hidden="false" customHeight="false" outlineLevel="0" collapsed="false">
      <c r="A47" s="7" t="s">
        <v>87</v>
      </c>
      <c r="B47" s="10" t="s">
        <v>88</v>
      </c>
      <c r="C47" s="4" t="s">
        <v>9</v>
      </c>
      <c r="D47" s="7" t="n">
        <v>50</v>
      </c>
      <c r="E47" s="7" t="n">
        <v>0.04283</v>
      </c>
      <c r="F47" s="6" t="n">
        <f aca="false">PRODUCT(D47,E47)*1.23</f>
        <v>2.634045</v>
      </c>
      <c r="H47" s="1"/>
    </row>
    <row r="48" customFormat="false" ht="12.8" hidden="false" customHeight="false" outlineLevel="0" collapsed="false">
      <c r="A48" s="12" t="s">
        <v>89</v>
      </c>
      <c r="B48" s="12" t="s">
        <v>90</v>
      </c>
      <c r="C48" s="13" t="s">
        <v>9</v>
      </c>
      <c r="D48" s="12" t="n">
        <v>25</v>
      </c>
      <c r="E48" s="12" t="n">
        <v>0.3395</v>
      </c>
      <c r="F48" s="6" t="n">
        <f aca="false">PRODUCT(D48,E48)*1.23</f>
        <v>10.439625</v>
      </c>
      <c r="H48" s="1"/>
    </row>
    <row r="49" customFormat="false" ht="12.8" hidden="false" customHeight="false" outlineLevel="0" collapsed="false">
      <c r="A49" s="12"/>
      <c r="B49" s="12"/>
      <c r="C49" s="12"/>
      <c r="D49" s="12"/>
      <c r="E49" s="12"/>
      <c r="F49" s="12"/>
    </row>
    <row r="50" customFormat="false" ht="12.8" hidden="false" customHeight="false" outlineLevel="0" collapsed="false">
      <c r="A50" s="12"/>
      <c r="B50" s="12"/>
      <c r="C50" s="12"/>
      <c r="D50" s="12"/>
      <c r="E50" s="12"/>
      <c r="F50" s="12"/>
      <c r="H50" s="1"/>
      <c r="I50" s="1"/>
    </row>
    <row r="51" customFormat="false" ht="12.8" hidden="false" customHeight="false" outlineLevel="0" collapsed="false">
      <c r="A51" s="0"/>
      <c r="B51" s="0"/>
      <c r="C51" s="0"/>
      <c r="E51" s="0"/>
      <c r="F51" s="0"/>
    </row>
    <row r="52" customFormat="false" ht="12.8" hidden="false" customHeight="false" outlineLevel="0" collapsed="false">
      <c r="A52" s="3" t="s">
        <v>1</v>
      </c>
      <c r="B52" s="3" t="s">
        <v>2</v>
      </c>
      <c r="C52" s="3" t="s">
        <v>3</v>
      </c>
      <c r="D52" s="3" t="s">
        <v>4</v>
      </c>
      <c r="E52" s="3" t="s">
        <v>91</v>
      </c>
      <c r="F52" s="3" t="s">
        <v>6</v>
      </c>
    </row>
    <row r="53" customFormat="false" ht="12.8" hidden="false" customHeight="false" outlineLevel="0" collapsed="false">
      <c r="A53" s="9" t="s">
        <v>92</v>
      </c>
      <c r="B53" s="9"/>
      <c r="C53" s="9"/>
      <c r="D53" s="9"/>
      <c r="E53" s="9"/>
      <c r="F53" s="9" t="n">
        <f aca="false">PRODUCT(D53,E53)*1.23</f>
        <v>0</v>
      </c>
    </row>
    <row r="54" customFormat="false" ht="12.8" hidden="false" customHeight="false" outlineLevel="0" collapsed="false">
      <c r="A54" s="7" t="s">
        <v>93</v>
      </c>
      <c r="B54" s="10" t="s">
        <v>94</v>
      </c>
      <c r="C54" s="4" t="s">
        <v>9</v>
      </c>
      <c r="D54" s="7" t="n">
        <v>1</v>
      </c>
      <c r="E54" s="7" t="n">
        <v>27.54</v>
      </c>
      <c r="F54" s="6" t="n">
        <f aca="false">PRODUCT(D54,E54)*1.23</f>
        <v>33.8742</v>
      </c>
    </row>
    <row r="55" customFormat="false" ht="12.8" hidden="false" customHeight="false" outlineLevel="0" collapsed="false">
      <c r="A55" s="7"/>
      <c r="B55" s="7"/>
      <c r="C55" s="7"/>
      <c r="D55" s="7"/>
      <c r="E55" s="7"/>
      <c r="F55" s="6"/>
    </row>
    <row r="56" customFormat="false" ht="12.8" hidden="false" customHeight="false" outlineLevel="0" collapsed="false">
      <c r="A56" s="9" t="s">
        <v>95</v>
      </c>
      <c r="B56" s="9"/>
      <c r="C56" s="9"/>
      <c r="D56" s="9"/>
      <c r="E56" s="9"/>
      <c r="F56" s="9"/>
    </row>
    <row r="57" customFormat="false" ht="12.8" hidden="false" customHeight="false" outlineLevel="0" collapsed="false">
      <c r="A57" s="7" t="s">
        <v>96</v>
      </c>
      <c r="B57" s="7" t="s">
        <v>96</v>
      </c>
      <c r="C57" s="4" t="s">
        <v>97</v>
      </c>
      <c r="D57" s="7" t="n">
        <v>5</v>
      </c>
      <c r="E57" s="7" t="n">
        <v>10</v>
      </c>
      <c r="F57" s="7" t="n">
        <f aca="false">PRODUCT(D57:E57)</f>
        <v>50</v>
      </c>
    </row>
    <row r="58" customFormat="false" ht="12.8" hidden="false" customHeight="false" outlineLevel="0" collapsed="false">
      <c r="A58" s="7"/>
      <c r="B58" s="7"/>
      <c r="C58" s="7"/>
      <c r="D58" s="7"/>
      <c r="E58" s="7"/>
      <c r="F58" s="7"/>
    </row>
    <row r="59" customFormat="false" ht="12.8" hidden="false" customHeight="false" outlineLevel="0" collapsed="false">
      <c r="A59" s="9" t="s">
        <v>98</v>
      </c>
      <c r="B59" s="9"/>
      <c r="C59" s="9"/>
      <c r="D59" s="9"/>
      <c r="E59" s="9"/>
      <c r="F59" s="9" t="n">
        <f aca="false">PRODUCT(D59:E59)</f>
        <v>0</v>
      </c>
    </row>
    <row r="60" customFormat="false" ht="12.8" hidden="false" customHeight="false" outlineLevel="0" collapsed="false">
      <c r="A60" s="7" t="s">
        <v>98</v>
      </c>
      <c r="B60" s="7" t="s">
        <v>99</v>
      </c>
      <c r="C60" s="7" t="s">
        <v>100</v>
      </c>
      <c r="D60" s="7" t="n">
        <v>1</v>
      </c>
      <c r="E60" s="7" t="n">
        <v>17</v>
      </c>
      <c r="F60" s="7" t="n">
        <f aca="false">PRODUCT(D60:E60)</f>
        <v>17</v>
      </c>
    </row>
    <row r="61" customFormat="false" ht="12.8" hidden="false" customHeight="false" outlineLevel="0" collapsed="false">
      <c r="F61" s="7"/>
    </row>
    <row r="62" customFormat="false" ht="12.8" hidden="false" customHeight="false" outlineLevel="0" collapsed="false">
      <c r="B62" s="2" t="s">
        <v>101</v>
      </c>
      <c r="C62" s="2"/>
      <c r="D62" s="2"/>
      <c r="E62" s="2"/>
      <c r="F62" s="2" t="n">
        <f aca="false">PRODUCT(D62:E62)</f>
        <v>0</v>
      </c>
    </row>
    <row r="63" customFormat="false" ht="12.8" hidden="false" customHeight="false" outlineLevel="0" collapsed="false">
      <c r="A63" s="1" t="s">
        <v>102</v>
      </c>
      <c r="B63" s="1" t="s">
        <v>103</v>
      </c>
      <c r="D63" s="1" t="n">
        <v>1</v>
      </c>
      <c r="E63" s="1" t="n">
        <v>75</v>
      </c>
      <c r="F63" s="7" t="n">
        <f aca="false">PRODUCT(D63:E63)</f>
        <v>75</v>
      </c>
    </row>
  </sheetData>
  <mergeCells count="7">
    <mergeCell ref="A1:F1"/>
    <mergeCell ref="A12:F12"/>
    <mergeCell ref="A23:F23"/>
    <mergeCell ref="A53:F53"/>
    <mergeCell ref="A56:F56"/>
    <mergeCell ref="A59:F59"/>
    <mergeCell ref="B62:F62"/>
  </mergeCells>
  <hyperlinks>
    <hyperlink ref="C3" r:id="rId1" display="TME"/>
    <hyperlink ref="C4" r:id="rId2" display="TME"/>
    <hyperlink ref="C5" r:id="rId3" display="TME"/>
    <hyperlink ref="C6" r:id="rId4" display="TME"/>
    <hyperlink ref="C7" r:id="rId5" display="TME"/>
    <hyperlink ref="C8" r:id="rId6" display="TME"/>
    <hyperlink ref="C13" r:id="rId7" display="TME"/>
    <hyperlink ref="C14" r:id="rId8" display="TME"/>
    <hyperlink ref="C15" r:id="rId9" display="TME"/>
    <hyperlink ref="C16" r:id="rId10" display="TME"/>
    <hyperlink ref="C17" r:id="rId11" display="TME"/>
    <hyperlink ref="C18" r:id="rId12" display="TME"/>
    <hyperlink ref="C19" r:id="rId13" display="TME"/>
    <hyperlink ref="C20" r:id="rId14" display="TME"/>
    <hyperlink ref="C21" r:id="rId15" display="TME"/>
    <hyperlink ref="C24" r:id="rId16" display="TME"/>
    <hyperlink ref="C25" r:id="rId17" display="TME"/>
    <hyperlink ref="C26" r:id="rId18" display="TME"/>
    <hyperlink ref="C27" r:id="rId19" display="TME"/>
    <hyperlink ref="C28" r:id="rId20" display="TME"/>
    <hyperlink ref="C29" r:id="rId21" display="TME"/>
    <hyperlink ref="C30" r:id="rId22" display="TME"/>
    <hyperlink ref="C31" r:id="rId23" display="TME"/>
    <hyperlink ref="C32" r:id="rId24" display="TME"/>
    <hyperlink ref="C33" r:id="rId25" display="TME"/>
    <hyperlink ref="C34" r:id="rId26" display="TME"/>
    <hyperlink ref="C35" r:id="rId27" display="TME"/>
    <hyperlink ref="C36" r:id="rId28" display="TME"/>
    <hyperlink ref="C37" r:id="rId29" display="TME"/>
    <hyperlink ref="C38" r:id="rId30" display="TME"/>
    <hyperlink ref="C39" r:id="rId31" display="TME"/>
    <hyperlink ref="C40" r:id="rId32" display="TME"/>
    <hyperlink ref="C41" r:id="rId33" display="TME"/>
    <hyperlink ref="C42" r:id="rId34" display="TME"/>
    <hyperlink ref="C43" r:id="rId35" display="TME"/>
    <hyperlink ref="C44" r:id="rId36" display="TME"/>
    <hyperlink ref="C45" r:id="rId37" display="TME"/>
    <hyperlink ref="C46" r:id="rId38" display="TME"/>
    <hyperlink ref="C47" r:id="rId39" display="TME"/>
    <hyperlink ref="C48" r:id="rId40" display="TME"/>
    <hyperlink ref="C54" r:id="rId41" display="TME"/>
    <hyperlink ref="C57" r:id="rId42" display="Allegro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573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2026-06-29T12:53:56Z</dcterms:created>
  <dc:creator/>
  <dc:description/>
  <dc:language>pl-PL</dc:language>
  <cp:lastModifiedBy/>
  <dcterms:modified xsi:type="dcterms:W3CDTF">2026-09-09T10:40:11Z</dcterms:modified>
  <cp:revision>103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