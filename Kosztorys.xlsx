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<sst xmlns="http://schemas.openxmlformats.org/spreadsheetml/2006/main" count="26" uniqueCount="21">
  <si>
    <t xml:space="preserve">Układy scalone</t>
  </si>
  <si>
    <t xml:space="preserve">typ</t>
  </si>
  <si>
    <t xml:space="preserve">nazwa</t>
  </si>
  <si>
    <t xml:space="preserve">link</t>
  </si>
  <si>
    <t xml:space="preserve">Ilość</t>
  </si>
  <si>
    <t xml:space="preserve">Cena l.p netto</t>
  </si>
  <si>
    <t xml:space="preserve">Łącznie brutto</t>
  </si>
  <si>
    <t xml:space="preserve">konwerter logiczny</t>
  </si>
  <si>
    <t xml:space="preserve">TXS0108E</t>
  </si>
  <si>
    <t xml:space="preserve">TME</t>
  </si>
  <si>
    <t xml:space="preserve">transceiver CAN</t>
  </si>
  <si>
    <t xml:space="preserve">TJA1050T/CM</t>
  </si>
  <si>
    <t xml:space="preserve">kontroler CAN</t>
  </si>
  <si>
    <t xml:space="preserve">MCP2515-I/ST</t>
  </si>
  <si>
    <t xml:space="preserve">potencjometr cyfrowy</t>
  </si>
  <si>
    <t xml:space="preserve">MCP4661-103E/ST</t>
  </si>
  <si>
    <t xml:space="preserve">wzmacniacz operacyjny</t>
  </si>
  <si>
    <t xml:space="preserve">NCV21872DMR2G </t>
  </si>
  <si>
    <t xml:space="preserve">mikrokontroler</t>
  </si>
  <si>
    <t xml:space="preserve">STM32F411RCT6</t>
  </si>
  <si>
    <t xml:space="preserve">SUMA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</si>
</sst>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6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0000FF"/>
      <name val="Arial"/>
      <family val="2"/>
      <charset val="238"/>
    </font>
    <font>
      <sz val="10"/>
      <color rgb="FF0000FF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me.eu/pl/details/txs0108epwr/konwertery-logiczne/texas-instruments/" TargetMode="External"/><Relationship Id="rId2" Type="http://schemas.openxmlformats.org/officeDocument/2006/relationships/hyperlink" Target="https://www.tme.eu/pl/details/tja1050t_cm/uklady-scalone-interfejs-can/nxp/" TargetMode="External"/><Relationship Id="rId3" Type="http://schemas.openxmlformats.org/officeDocument/2006/relationships/hyperlink" Target="https://www.tme.eu/pl/details/mcp2515-i_st/uklady-scalone-interfejs-can/microchip-technology/" TargetMode="External"/><Relationship Id="rId4" Type="http://schemas.openxmlformats.org/officeDocument/2006/relationships/hyperlink" Target="https://www.tme.eu/pl/details/mcp4661-103est/potencjometry-cyfrowe/microchip-technology/mcp4661-103e-st/" TargetMode="External"/><Relationship Id="rId5" Type="http://schemas.openxmlformats.org/officeDocument/2006/relationships/hyperlink" Target="https://www.tme.eu/pl/details/ncv21872dmr2g/wzmacniacze-operacyjne-smd/onsemi/" TargetMode="External"/><Relationship Id="rId6" Type="http://schemas.openxmlformats.org/officeDocument/2006/relationships/hyperlink" Target="https://www.tme.eu/pl/details/stm32f411rct6/mikrokontrolery-st/stmicroelectronic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3" activeCellId="0" sqref="F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1.43"/>
    <col collapsed="false" customWidth="true" hidden="false" outlineLevel="0" max="2" min="2" style="1" width="17.8"/>
    <col collapsed="false" customWidth="true" hidden="false" outlineLevel="0" max="3" min="3" style="1" width="14.33"/>
    <col collapsed="false" customWidth="true" hidden="false" outlineLevel="0" max="5" min="5" style="1" width="14.06"/>
    <col collapsed="false" customWidth="true" hidden="false" outlineLevel="0" max="6" min="6" style="0" width="15.02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</row>
    <row r="2" customFormat="false" ht="12.8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</row>
    <row r="3" customFormat="false" ht="12.8" hidden="false" customHeight="false" outlineLevel="0" collapsed="false">
      <c r="A3" s="3" t="s">
        <v>7</v>
      </c>
      <c r="B3" s="3" t="s">
        <v>8</v>
      </c>
      <c r="C3" s="4" t="s">
        <v>9</v>
      </c>
      <c r="D3" s="3" t="n">
        <v>1</v>
      </c>
      <c r="E3" s="3" t="n">
        <v>6.13</v>
      </c>
      <c r="F3" s="5" t="n">
        <f aca="false">PRODUCT(D3,E3)*1.23</f>
        <v>7.5399</v>
      </c>
    </row>
    <row r="4" customFormat="false" ht="12.8" hidden="false" customHeight="false" outlineLevel="0" collapsed="false">
      <c r="A4" s="3" t="s">
        <v>10</v>
      </c>
      <c r="B4" s="3" t="s">
        <v>11</v>
      </c>
      <c r="C4" s="4" t="s">
        <v>9</v>
      </c>
      <c r="D4" s="3" t="n">
        <v>1</v>
      </c>
      <c r="E4" s="3" t="n">
        <v>3.78</v>
      </c>
      <c r="F4" s="5" t="n">
        <f aca="false">PRODUCT(D4,E4)*1.23</f>
        <v>4.6494</v>
      </c>
    </row>
    <row r="5" customFormat="false" ht="12.8" hidden="false" customHeight="false" outlineLevel="0" collapsed="false">
      <c r="A5" s="3" t="s">
        <v>12</v>
      </c>
      <c r="B5" s="3" t="s">
        <v>13</v>
      </c>
      <c r="C5" s="4" t="s">
        <v>9</v>
      </c>
      <c r="D5" s="3" t="n">
        <v>1</v>
      </c>
      <c r="E5" s="3" t="n">
        <v>9.36</v>
      </c>
      <c r="F5" s="5" t="n">
        <f aca="false">PRODUCT(D5,E5)*1.23</f>
        <v>11.5128</v>
      </c>
    </row>
    <row r="6" customFormat="false" ht="12.8" hidden="false" customHeight="false" outlineLevel="0" collapsed="false">
      <c r="A6" s="3" t="s">
        <v>14</v>
      </c>
      <c r="B6" s="3" t="s">
        <v>15</v>
      </c>
      <c r="C6" s="4" t="s">
        <v>9</v>
      </c>
      <c r="D6" s="3" t="n">
        <v>1</v>
      </c>
      <c r="E6" s="3" t="n">
        <v>5.34</v>
      </c>
      <c r="F6" s="5" t="n">
        <f aca="false">PRODUCT(D6,E6)*1.23</f>
        <v>6.5682</v>
      </c>
    </row>
    <row r="7" customFormat="false" ht="12.8" hidden="false" customHeight="false" outlineLevel="0" collapsed="false">
      <c r="A7" s="3" t="s">
        <v>16</v>
      </c>
      <c r="B7" s="3" t="s">
        <v>17</v>
      </c>
      <c r="C7" s="4" t="s">
        <v>9</v>
      </c>
      <c r="D7" s="3" t="n">
        <v>1</v>
      </c>
      <c r="E7" s="3" t="n">
        <v>2.41</v>
      </c>
      <c r="F7" s="6" t="n">
        <f aca="false">PRODUCT(D7,E7)*1.23</f>
        <v>2.9643</v>
      </c>
    </row>
    <row r="8" customFormat="false" ht="12.8" hidden="false" customHeight="false" outlineLevel="0" collapsed="false">
      <c r="A8" s="3" t="s">
        <v>18</v>
      </c>
      <c r="B8" s="3" t="s">
        <v>19</v>
      </c>
      <c r="C8" s="7" t="s">
        <v>9</v>
      </c>
      <c r="D8" s="8" t="n">
        <v>1</v>
      </c>
      <c r="E8" s="3" t="n">
        <v>18.86</v>
      </c>
      <c r="F8" s="6" t="n">
        <f aca="false">PRODUCT(D8,E8)*1.23</f>
        <v>23.1978</v>
      </c>
      <c r="H8" s="3" t="s">
        <v>20</v>
      </c>
    </row>
    <row r="9" customFormat="false" ht="12.8" hidden="false" customHeight="false" outlineLevel="0" collapsed="false">
      <c r="H9" s="5" t="n">
        <f aca="false">SUM(F3:F33)</f>
        <v>56.4324</v>
      </c>
    </row>
  </sheetData>
  <mergeCells count="1">
    <mergeCell ref="A1:F1"/>
  </mergeCells>
  <hyperlinks>
    <hyperlink ref="C3" r:id="rId1" display="TME"/>
    <hyperlink ref="C4" r:id="rId2" display="TME"/>
    <hyperlink ref="C5" r:id="rId3" display="TME"/>
    <hyperlink ref="C6" r:id="rId4" display="TME"/>
    <hyperlink ref="C7" r:id="rId5" display="TME"/>
    <hyperlink ref="C8" r:id="rId6" display="TME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2026-06-29T12:53:56Z</dcterms:created>
  <dc:creator/>
  <dc:description/>
  <dc:language>pl-PL</dc:language>
  <cp:lastModifiedBy/>
  <dcterms:modified xsi:type="dcterms:W3CDTF">2026-06-29T19:31:05Z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