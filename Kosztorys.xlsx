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<sst xmlns="http://schemas.openxmlformats.org/spreadsheetml/2006/main" count="78" uniqueCount="50">
  <si>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</si>
  <si>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</si>
  <si>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</si>
  <si>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</si>
  <si>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</si>
  <si>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</si>
  <si>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</si>
  <si>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Klasa</t>
  </si>
  <si>
    <t xml:space="preserve">konwerter logiczny</t>
  </si>
  <si>
    <t xml:space="preserve">TXS0102DCUR</t>
  </si>
  <si>
    <t xml:space="preserve">TME</t>
  </si>
  <si>
    <t xml:space="preserve">Industrial</t>
  </si>
  <si>
    <t xml:space="preserve">transceiver CAN</t>
  </si>
  <si>
    <t xml:space="preserve">TJA1050T/CM</t>
  </si>
  <si>
    <t xml:space="preserve">Automotive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</si>
  <si>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</si>
  <si>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</si>
  <si>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</si>
  <si>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</si>
  <si>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SUMA</t>
  </si>
  <si>
    <t xml:space="preserve">microkontroler</t>
  </si>
  <si>
    <t xml:space="preserve">STM32F105RBT6</t>
  </si>
  <si>
    <t xml:space="preserve">LDO 3.3V</t>
  </si>
  <si>
    <t xml:space="preserve">AP7347DQ-33W5-7</t>
  </si>
  <si>
    <t xml:space="preserve">USB ESD Protection</t>
  </si>
  <si>
    <t xml:space="preserve">USBLC6-2SC6Y</t>
  </si>
  <si>
    <t xml:space="preserve">WTYCZKI</t>
  </si>
  <si>
    <t xml:space="preserve">Wtyczka Micro-Fit 3.0 4pin</t>
  </si>
  <si>
    <t xml:space="preserve">43025-0410</t>
  </si>
  <si>
    <t xml:space="preserve">Wtyczka Micro-Fit 3.0 8pin</t>
  </si>
  <si>
    <t xml:space="preserve">43025-0808</t>
  </si>
  <si>
    <t xml:space="preserve">Wtyczka Micro-Fit 3.0 6pin</t>
  </si>
  <si>
    <t xml:space="preserve">43025-0600</t>
  </si>
  <si>
    <t xml:space="preserve">Styk żeński MF3.0  cynowany</t>
  </si>
  <si>
    <t xml:space="preserve">43030-0007</t>
  </si>
  <si>
    <t xml:space="preserve">Gniazdo Micro-Fit 3.0 6pin</t>
  </si>
  <si>
    <t xml:space="preserve">43045-0621</t>
  </si>
  <si>
    <t xml:space="preserve">Gniazdo Micro-Fit 3.0 4pin</t>
  </si>
  <si>
    <t xml:space="preserve">43045-0400</t>
  </si>
  <si>
    <t xml:space="preserve">Gniazdo Micro-Fit 3.0 8pin</t>
  </si>
  <si>
    <t xml:space="preserve">43045-0800</t>
  </si>
  <si>
    <t xml:space="preserve">NARZĘDZIA</t>
  </si>
  <si>
    <t xml:space="preserve">Topnik w żelu</t>
  </si>
  <si>
    <t xml:space="preserve">BTFO-81-1</t>
  </si>
  <si>
    <t xml:space="preserve">PRZEWODY</t>
  </si>
  <si>
    <t xml:space="preserve">LRFY-B 0.35mm 5 kolorów</t>
  </si>
  <si>
    <t xml:space="preserve">Allegro</t>
  </si>
  <si>
    <t xml:space="preserve">PCB</t>
  </si>
  <si>
    <t xml:space="preserve">autorskie pcb </t>
  </si>
  <si>
    <t xml:space="preserve">JLC PCB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</si>
</sst>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FF"/>
      <name val="Arial"/>
      <family val="2"/>
      <charset val="238"/>
    </font>
    <font>
      <sz val="10"/>
      <name val="Arial"/>
      <family val="2"/>
      <charset val="1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txs0102dcur/konwertery-logiczne/texas-instruments/" TargetMode="External"/><Relationship Id="rId2" Type="http://schemas.openxmlformats.org/officeDocument/2006/relationships/hyperlink" Target="https://www.tme.eu/pl/details/tja1050t_cm/uklady-scalone-interfejs-can/nxp/" TargetMode="External"/><Relationship Id="rId3" Type="http://schemas.openxmlformats.org/officeDocument/2006/relationships/hyperlink" Target="https://www.tme.eu/pl/details/mcp4661-103est/potencjometry-cyfrowe/microchip-technology/mcp4661-103e-st/" TargetMode="External"/><Relationship Id="rId4" Type="http://schemas.openxmlformats.org/officeDocument/2006/relationships/hyperlink" Target="https://www.tme.eu/pl/details/ncv21872dmr2g/wzmacniacze-operacyjne-smd/onsemi/" TargetMode="External"/><Relationship Id="rId5" Type="http://schemas.openxmlformats.org/officeDocument/2006/relationships/hyperlink" Target="https://www.tme.eu/pl/details/stm32f105rbt6/mikrokontrolery-st/stmicroelectronics/" TargetMode="External"/><Relationship Id="rId6" Type="http://schemas.openxmlformats.org/officeDocument/2006/relationships/hyperlink" Target="https://www.tme.eu/pl/details/ap7347dq-33w5-7/stabilizatory-napiecia-nieregulowane-ldo/diodes-incorporated/" TargetMode="External"/><Relationship Id="rId7" Type="http://schemas.openxmlformats.org/officeDocument/2006/relationships/hyperlink" Target="https://www.tme.eu/pl/details/usblc6-2sc6y/diody-zabezpieczajace-drabinki/stmicroelectronics/" TargetMode="External"/><Relationship Id="rId8" Type="http://schemas.openxmlformats.org/officeDocument/2006/relationships/hyperlink" Target="https://www.tme.eu/pl/details/mx-43025-0410/zlacza-pozostale-molex/molex/43025-0410/" TargetMode="External"/><Relationship Id="rId9" Type="http://schemas.openxmlformats.org/officeDocument/2006/relationships/hyperlink" Target="https://www.tme.eu/pl/details/mx-43025-0808/zlacza-pozostale-molex/molex/43025-0808/" TargetMode="External"/><Relationship Id="rId10" Type="http://schemas.openxmlformats.org/officeDocument/2006/relationships/hyperlink" Target="https://www.tme.eu/pl/details/mx-43025-0600/zlacza-sygnalowe-raster-3-00mm/molex/43025-0600/" TargetMode="External"/><Relationship Id="rId11" Type="http://schemas.openxmlformats.org/officeDocument/2006/relationships/hyperlink" Target="https://www.tme.eu/pl/details/mx-43030-0007/zlacza-sygnalowe-raster-3-00mm/molex/43030-0007/" TargetMode="External"/><Relationship Id="rId12" Type="http://schemas.openxmlformats.org/officeDocument/2006/relationships/hyperlink" Target="https://www.tme.eu/pl/details/mx-43045-0621/zlacza-sygnalowe-raster-3-00mm/molex/43045-0621/" TargetMode="External"/><Relationship Id="rId13" Type="http://schemas.openxmlformats.org/officeDocument/2006/relationships/hyperlink" Target="https://www.tme.eu/pl/details/mx-43045-0400/zlacza-sygnalowe-raster-3-00mm/molex/43045-0400/" TargetMode="External"/><Relationship Id="rId14" Type="http://schemas.openxmlformats.org/officeDocument/2006/relationships/hyperlink" Target="https://www.tme.eu/pl/details/mx-43045-0800/zlacza-sygnalowe-raster-3-00mm/molex/43045-0800/" TargetMode="External"/><Relationship Id="rId15" Type="http://schemas.openxmlformats.org/officeDocument/2006/relationships/hyperlink" Target="https://www.tme.eu/pl/details/btfo-81-1h/topniki/broquetas/btfo-81-1/" TargetMode="External"/><Relationship Id="rId16" Type="http://schemas.openxmlformats.org/officeDocument/2006/relationships/hyperlink" Target="https://allegro.pl/oferta/przewod-kabel-samochodowy-flry-b-0-35-zielony-5m-13471599200?context=3d9fa70e503eb52869ca183324400c37fca8bd6928a7482d5ef1868247686510cef5a3419f5630f1097e2053e5c6c2a184db614275e47db21629781dc16ecf2a65d4b0a06d7c83c1144e87a8237feaf229cd5b376e028a793d9926ac79e48f9c266dcf66a8f29bc737dd824b01f4b51020240bc2b78d361f091015e19ac23f4e9d094b624670d6aed30f52847a96f16d&amp;sellerHasChanged=false&amp;fromVariant=1561747953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3.37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1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0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4" t="s">
        <v>10</v>
      </c>
      <c r="D3" s="3" t="n">
        <v>1</v>
      </c>
      <c r="E3" s="3" t="n">
        <v>1.93</v>
      </c>
      <c r="F3" s="5" t="n">
        <f aca="false">PRODUCT(D3,E3)*1.23</f>
        <v>2.3739</v>
      </c>
      <c r="G3" s="0" t="s">
        <v>11</v>
      </c>
    </row>
    <row r="4" customFormat="false" ht="12.8" hidden="false" customHeight="false" outlineLevel="0" collapsed="false">
      <c r="A4" s="3" t="s">
        <v>12</v>
      </c>
      <c r="B4" s="3" t="s">
        <v>13</v>
      </c>
      <c r="C4" s="4" t="s">
        <v>10</v>
      </c>
      <c r="D4" s="3" t="n">
        <v>1</v>
      </c>
      <c r="E4" s="3" t="n">
        <v>3.78</v>
      </c>
      <c r="F4" s="5" t="n">
        <f aca="false">PRODUCT(D4,E4)*1.23</f>
        <v>4.6494</v>
      </c>
      <c r="G4" s="0" t="s">
        <v>14</v>
      </c>
    </row>
    <row r="5" customFormat="false" ht="12.8" hidden="false" customHeight="false" outlineLevel="0" collapsed="false">
      <c r="A5" s="3" t="s">
        <v>15</v>
      </c>
      <c r="B5" s="3" t="s">
        <v>16</v>
      </c>
      <c r="C5" s="4" t="s">
        <v>10</v>
      </c>
      <c r="D5" s="3" t="n">
        <v>1</v>
      </c>
      <c r="E5" s="3" t="n">
        <v>5.34</v>
      </c>
      <c r="F5" s="5" t="n">
        <f aca="false">PRODUCT(D5,E5)*1.23</f>
        <v>6.5682</v>
      </c>
      <c r="G5" s="0" t="s">
        <v>11</v>
      </c>
    </row>
    <row r="6" customFormat="false" ht="12.8" hidden="false" customHeight="false" outlineLevel="0" collapsed="false">
      <c r="A6" s="3" t="s">
        <v>17</v>
      </c>
      <c r="B6" s="3" t="s">
        <v>18</v>
      </c>
      <c r="C6" s="4" t="s">
        <v>10</v>
      </c>
      <c r="D6" s="3" t="n">
        <v>1</v>
      </c>
      <c r="E6" s="3" t="n">
        <v>2.41</v>
      </c>
      <c r="F6" s="6" t="n">
        <f aca="false">PRODUCT(D6,E6)*1.23</f>
        <v>2.9643</v>
      </c>
      <c r="G6" s="0" t="s">
        <v>14</v>
      </c>
      <c r="I6" s="3" t="s">
        <v>19</v>
      </c>
    </row>
    <row r="7" customFormat="false" ht="12.8" hidden="false" customHeight="false" outlineLevel="0" collapsed="false">
      <c r="A7" s="3" t="s">
        <v>20</v>
      </c>
      <c r="B7" s="3" t="s">
        <v>21</v>
      </c>
      <c r="C7" s="4" t="s">
        <v>10</v>
      </c>
      <c r="D7" s="7" t="n">
        <v>1</v>
      </c>
      <c r="E7" s="3" t="n">
        <v>25.31</v>
      </c>
      <c r="F7" s="6" t="n">
        <f aca="false">PRODUCT(D7,E7)*1.23</f>
        <v>31.1313</v>
      </c>
      <c r="G7" s="0" t="s">
        <v>11</v>
      </c>
      <c r="I7" s="5" t="n">
        <f aca="false">SUM(F3:F33)</f>
        <v>197.25098</v>
      </c>
    </row>
    <row r="8" customFormat="false" ht="12.8" hidden="false" customHeight="false" outlineLevel="0" collapsed="false">
      <c r="A8" s="7" t="s">
        <v>22</v>
      </c>
      <c r="B8" s="8" t="s">
        <v>23</v>
      </c>
      <c r="C8" s="4" t="s">
        <v>10</v>
      </c>
      <c r="D8" s="7" t="n">
        <v>1</v>
      </c>
      <c r="E8" s="5" t="n">
        <v>1.926</v>
      </c>
      <c r="F8" s="6" t="n">
        <f aca="false">PRODUCT(D8,E8)*1.23</f>
        <v>2.36898</v>
      </c>
      <c r="G8" s="0" t="s">
        <v>14</v>
      </c>
    </row>
    <row r="9" customFormat="false" ht="12.8" hidden="false" customHeight="false" outlineLevel="0" collapsed="false">
      <c r="A9" s="9" t="s">
        <v>24</v>
      </c>
      <c r="B9" s="9" t="s">
        <v>25</v>
      </c>
      <c r="C9" s="10" t="s">
        <v>10</v>
      </c>
      <c r="D9" s="9" t="n">
        <v>1</v>
      </c>
      <c r="E9" s="9" t="n">
        <v>1.48</v>
      </c>
      <c r="F9" s="6" t="n">
        <f aca="false">PRODUCT(D9,E9)*1.23</f>
        <v>1.8204</v>
      </c>
      <c r="G9" s="0" t="s">
        <v>14</v>
      </c>
    </row>
    <row r="12" customFormat="false" ht="12.8" hidden="false" customHeight="false" outlineLevel="0" collapsed="false">
      <c r="A12" s="11" t="s">
        <v>26</v>
      </c>
      <c r="B12" s="11"/>
      <c r="C12" s="11"/>
      <c r="D12" s="11"/>
      <c r="E12" s="11"/>
      <c r="F12" s="11" t="n">
        <f aca="false">PRODUCT(D12,E12)*1.23</f>
        <v>0</v>
      </c>
    </row>
    <row r="13" customFormat="false" ht="12.8" hidden="false" customHeight="false" outlineLevel="0" collapsed="false">
      <c r="A13" s="7" t="s">
        <v>27</v>
      </c>
      <c r="B13" s="8" t="s">
        <v>28</v>
      </c>
      <c r="C13" s="4" t="s">
        <v>10</v>
      </c>
      <c r="D13" s="7" t="n">
        <v>1</v>
      </c>
      <c r="E13" s="7" t="n">
        <v>1.67</v>
      </c>
      <c r="F13" s="6" t="n">
        <f aca="false">PRODUCT(D13,E13)*1.23</f>
        <v>2.0541</v>
      </c>
      <c r="G13" s="0" t="s">
        <v>14</v>
      </c>
    </row>
    <row r="14" customFormat="false" ht="12.8" hidden="false" customHeight="false" outlineLevel="0" collapsed="false">
      <c r="A14" s="7" t="s">
        <v>29</v>
      </c>
      <c r="B14" s="7" t="s">
        <v>30</v>
      </c>
      <c r="C14" s="4" t="s">
        <v>10</v>
      </c>
      <c r="D14" s="7" t="n">
        <v>1</v>
      </c>
      <c r="E14" s="7" t="n">
        <v>2.18</v>
      </c>
      <c r="F14" s="6" t="n">
        <f aca="false">PRODUCT(D14,E14)*1.23</f>
        <v>2.6814</v>
      </c>
      <c r="G14" s="0" t="s">
        <v>14</v>
      </c>
    </row>
    <row r="15" customFormat="false" ht="12.8" hidden="false" customHeight="false" outlineLevel="0" collapsed="false">
      <c r="A15" s="7" t="s">
        <v>31</v>
      </c>
      <c r="B15" s="7" t="s">
        <v>32</v>
      </c>
      <c r="C15" s="4" t="s">
        <v>10</v>
      </c>
      <c r="D15" s="7" t="n">
        <v>1</v>
      </c>
      <c r="E15" s="5" t="n">
        <v>1.1</v>
      </c>
      <c r="F15" s="6" t="n">
        <f aca="false">PRODUCT(D15,E15)*1.23</f>
        <v>1.353</v>
      </c>
      <c r="G15" s="0" t="s">
        <v>14</v>
      </c>
    </row>
    <row r="16" customFormat="false" ht="12.8" hidden="false" customHeight="false" outlineLevel="0" collapsed="false">
      <c r="A16" s="7" t="s">
        <v>33</v>
      </c>
      <c r="B16" s="7" t="s">
        <v>34</v>
      </c>
      <c r="C16" s="4" t="s">
        <v>10</v>
      </c>
      <c r="D16" s="7" t="n">
        <v>30</v>
      </c>
      <c r="E16" s="7" t="n">
        <v>0.382</v>
      </c>
      <c r="F16" s="6" t="n">
        <f aca="false">PRODUCT(D16,E16)*1.23</f>
        <v>14.0958</v>
      </c>
      <c r="G16" s="0" t="s">
        <v>14</v>
      </c>
    </row>
    <row r="17" customFormat="false" ht="12.8" hidden="false" customHeight="false" outlineLevel="0" collapsed="false">
      <c r="A17" s="7" t="s">
        <v>35</v>
      </c>
      <c r="B17" s="7" t="s">
        <v>36</v>
      </c>
      <c r="C17" s="4" t="s">
        <v>10</v>
      </c>
      <c r="D17" s="7" t="n">
        <v>1</v>
      </c>
      <c r="E17" s="7" t="n">
        <v>5.84</v>
      </c>
      <c r="F17" s="6" t="n">
        <f aca="false">PRODUCT(D17,E17)*1.23</f>
        <v>7.1832</v>
      </c>
      <c r="G17" s="0" t="s">
        <v>14</v>
      </c>
    </row>
    <row r="18" customFormat="false" ht="12.8" hidden="false" customHeight="false" outlineLevel="0" collapsed="false">
      <c r="A18" s="7" t="s">
        <v>37</v>
      </c>
      <c r="B18" s="7" t="s">
        <v>38</v>
      </c>
      <c r="C18" s="4" t="s">
        <v>10</v>
      </c>
      <c r="D18" s="7" t="n">
        <v>1</v>
      </c>
      <c r="E18" s="5" t="n">
        <v>3.7</v>
      </c>
      <c r="F18" s="6" t="n">
        <f aca="false">PRODUCT(D18,E18)*1.23</f>
        <v>4.551</v>
      </c>
      <c r="G18" s="0" t="s">
        <v>14</v>
      </c>
    </row>
    <row r="19" customFormat="false" ht="12.8" hidden="false" customHeight="false" outlineLevel="0" collapsed="false">
      <c r="A19" s="7" t="s">
        <v>39</v>
      </c>
      <c r="B19" s="7" t="s">
        <v>40</v>
      </c>
      <c r="C19" s="4" t="s">
        <v>10</v>
      </c>
      <c r="D19" s="7" t="n">
        <v>1</v>
      </c>
      <c r="E19" s="7" t="n">
        <v>4.59</v>
      </c>
      <c r="F19" s="6" t="n">
        <f aca="false">PRODUCT(D19,E19)*1.23</f>
        <v>5.6457</v>
      </c>
      <c r="G19" s="0" t="s">
        <v>14</v>
      </c>
    </row>
    <row r="20" customFormat="false" ht="12.8" hidden="false" customHeight="false" outlineLevel="0" collapsed="false">
      <c r="A20" s="7"/>
      <c r="B20" s="7"/>
      <c r="C20" s="7"/>
      <c r="D20" s="7"/>
      <c r="E20" s="7"/>
      <c r="F20" s="6"/>
    </row>
    <row r="21" customFormat="false" ht="12.8" hidden="false" customHeight="false" outlineLevel="0" collapsed="false">
      <c r="A21" s="11" t="s">
        <v>41</v>
      </c>
      <c r="B21" s="11"/>
      <c r="C21" s="11"/>
      <c r="D21" s="11"/>
      <c r="E21" s="11"/>
      <c r="F21" s="11" t="n">
        <f aca="false">PRODUCT(D21,E21)*1.23</f>
        <v>0</v>
      </c>
    </row>
    <row r="22" customFormat="false" ht="12.8" hidden="false" customHeight="false" outlineLevel="0" collapsed="false">
      <c r="A22" s="7" t="s">
        <v>42</v>
      </c>
      <c r="B22" s="7" t="s">
        <v>43</v>
      </c>
      <c r="C22" s="4" t="s">
        <v>10</v>
      </c>
      <c r="D22" s="7" t="n">
        <v>1</v>
      </c>
      <c r="E22" s="7" t="n">
        <v>22.61</v>
      </c>
      <c r="F22" s="6" t="n">
        <f aca="false">PRODUCT(D22,E22)*1.23</f>
        <v>27.8103</v>
      </c>
    </row>
    <row r="23" customFormat="false" ht="12.8" hidden="false" customHeight="false" outlineLevel="0" collapsed="false">
      <c r="A23" s="7"/>
      <c r="B23" s="7"/>
      <c r="C23" s="7"/>
      <c r="D23" s="7"/>
      <c r="E23" s="7"/>
      <c r="F23" s="7"/>
    </row>
    <row r="24" customFormat="false" ht="12.8" hidden="false" customHeight="false" outlineLevel="0" collapsed="false">
      <c r="A24" s="11" t="s">
        <v>44</v>
      </c>
      <c r="B24" s="11"/>
      <c r="C24" s="11"/>
      <c r="D24" s="11"/>
      <c r="E24" s="11"/>
      <c r="F24" s="11"/>
    </row>
    <row r="25" customFormat="false" ht="12.8" hidden="false" customHeight="false" outlineLevel="0" collapsed="false">
      <c r="A25" s="7" t="s">
        <v>45</v>
      </c>
      <c r="B25" s="7" t="s">
        <v>45</v>
      </c>
      <c r="C25" s="4" t="s">
        <v>46</v>
      </c>
      <c r="D25" s="7" t="n">
        <v>5</v>
      </c>
      <c r="E25" s="7" t="n">
        <v>10</v>
      </c>
      <c r="F25" s="7" t="n">
        <v>50</v>
      </c>
    </row>
    <row r="26" customFormat="false" ht="12.8" hidden="false" customHeight="false" outlineLevel="0" collapsed="false">
      <c r="A26" s="7"/>
      <c r="B26" s="7"/>
      <c r="C26" s="7"/>
      <c r="D26" s="7"/>
      <c r="E26" s="7"/>
      <c r="F26" s="7"/>
    </row>
    <row r="27" customFormat="false" ht="12.8" hidden="false" customHeight="false" outlineLevel="0" collapsed="false">
      <c r="A27" s="11" t="s">
        <v>47</v>
      </c>
      <c r="B27" s="11"/>
      <c r="C27" s="11"/>
      <c r="D27" s="11"/>
      <c r="E27" s="11"/>
      <c r="F27" s="11"/>
    </row>
    <row r="28" customFormat="false" ht="12.8" hidden="false" customHeight="false" outlineLevel="0" collapsed="false">
      <c r="A28" s="7" t="s">
        <v>47</v>
      </c>
      <c r="B28" s="7" t="s">
        <v>48</v>
      </c>
      <c r="C28" s="7" t="s">
        <v>49</v>
      </c>
      <c r="D28" s="7" t="n">
        <v>1</v>
      </c>
      <c r="E28" s="7" t="n">
        <v>30</v>
      </c>
      <c r="F28" s="7" t="n">
        <v>30</v>
      </c>
    </row>
  </sheetData>
  <mergeCells count="5">
    <mergeCell ref="A1:F1"/>
    <mergeCell ref="A12:F12"/>
    <mergeCell ref="A21:F21"/>
    <mergeCell ref="A24:F24"/>
    <mergeCell ref="A27:F27"/>
  </mergeCells>
  <hyperlinks>
    <hyperlink ref="C3" r:id="rId1" display="TME"/>
    <hyperlink ref="C4" r:id="rId2" display="TME"/>
    <hyperlink ref="C5" r:id="rId3" display="TME"/>
    <hyperlink ref="C6" r:id="rId4" display="TME"/>
    <hyperlink ref="C7" r:id="rId5" display="TME"/>
    <hyperlink ref="C8" r:id="rId6" display="TME"/>
    <hyperlink ref="C9" r:id="rId7" display="TME"/>
    <hyperlink ref="C13" r:id="rId8" display="TME"/>
    <hyperlink ref="C14" r:id="rId9" display="TME"/>
    <hyperlink ref="C15" r:id="rId10" display="TME"/>
    <hyperlink ref="C16" r:id="rId11" display="TME"/>
    <hyperlink ref="C17" r:id="rId12" display="TME"/>
    <hyperlink ref="C18" r:id="rId13" display="TME"/>
    <hyperlink ref="C19" r:id="rId14" display="TME"/>
    <hyperlink ref="C22" r:id="rId15" display="TME"/>
    <hyperlink ref="C25" r:id="rId16" display="Allegr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2026-07-03T20:36:52Z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